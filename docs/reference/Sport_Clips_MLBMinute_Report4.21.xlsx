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 Minute 1 - Sport Clips" sheetId="1" r:id="rId4"/>
  </sheets>
  <definedNames/>
  <calcPr/>
  <extLst>
    <ext uri="GoogleSheetsCustomDataVersion2">
      <go:sheetsCustomData xmlns:go="http://customooxmlschemas.google.com/" r:id="rId5" roundtripDataChecksum="QLCQEa2LY4ICkMP8+oCSTl585CP4E1oWA8DsvRyGhuY="/>
    </ext>
  </extLst>
</workbook>
</file>

<file path=xl/sharedStrings.xml><?xml version="1.0" encoding="utf-8"?>
<sst xmlns="http://schemas.openxmlformats.org/spreadsheetml/2006/main" count="44" uniqueCount="26">
  <si>
    <t>MLB Minute — Sport Clips Campaign</t>
  </si>
  <si>
    <t>Reporting Period: March 23 – April 21, 2026  |  Campaign End: April 19, 2026  |  Total Budget: $2,500</t>
  </si>
  <si>
    <t>Impressions Goal: 1,100,000  |  Updated: April 21, 2026</t>
  </si>
  <si>
    <t>VIDEO 1  |  Platform Performance</t>
  </si>
  <si>
    <t>Platform</t>
  </si>
  <si>
    <t>Impressions</t>
  </si>
  <si>
    <t>Video Views</t>
  </si>
  <si>
    <t>Clicks</t>
  </si>
  <si>
    <t>Avg CPM</t>
  </si>
  <si>
    <t>Spend</t>
  </si>
  <si>
    <t>Avg CTR</t>
  </si>
  <si>
    <t>Instagram</t>
  </si>
  <si>
    <t>YouTube Shorts</t>
  </si>
  <si>
    <t>TikTok</t>
  </si>
  <si>
    <t>X (Twitter)</t>
  </si>
  <si>
    <t>VIDEO 1 TOTAL</t>
  </si>
  <si>
    <t>VIDEO 2  |  Platform Performance</t>
  </si>
  <si>
    <t>VIDEO 2 TOTAL</t>
  </si>
  <si>
    <t>CAMPAIGN PROGRESS  ($2,500 budget | 1,100,000 impression goal)</t>
  </si>
  <si>
    <t>Metric</t>
  </si>
  <si>
    <t>Goal / Budget</t>
  </si>
  <si>
    <t>To Date</t>
  </si>
  <si>
    <t>% of Goal</t>
  </si>
  <si>
    <t>Remaining</t>
  </si>
  <si>
    <t>COMBINED TOTAL  |  All Videos</t>
  </si>
  <si>
    <t>ALL PLATFORMS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</si>
</sst>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"/>
    <numFmt numFmtId="165" formatCode="\-"/>
    <numFmt numFmtId="166" formatCode="\$#,##0.000"/>
    <numFmt numFmtId="167" formatCode="0.000%"/>
    <numFmt numFmtId="168" formatCode="0.0%"/>
  </numFmts>
  <fonts count="10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color rgb="FFFFFFFF"/>
      <name val="Arial"/>
    </font>
    <font>
      <i/>
      <color rgb="FFC8A951"/>
      <name val="Arial"/>
    </font>
    <font>
      <sz val="11.0"/>
      <color theme="1"/>
      <name val="Calibri"/>
    </font>
    <font>
      <b/>
      <color rgb="FFFFFFFF"/>
      <name val="Arial"/>
    </font>
    <font>
      <b/>
      <color rgb="FF1A1A1A"/>
      <name val="Arial"/>
    </font>
    <font>
      <color rgb="FF1A1A1A"/>
      <name val="Arial"/>
    </font>
    <font>
      <i/>
      <sz val="8.0"/>
      <color rgb="FF80808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B1F3A"/>
        <bgColor rgb="FF0B1F3A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32D4E"/>
        <bgColor rgb="FF132D4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0B1F3A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0B1F3A"/>
      </left>
      <right style="thin">
        <color rgb="FF0B1F3A"/>
      </right>
      <top style="medium">
        <color rgb="FF0B1F3A"/>
      </top>
      <bottom style="medium">
        <color rgb="FF0B1F3A"/>
      </bottom>
    </border>
    <border>
      <left style="thin">
        <color rgb="FF132D4E"/>
      </left>
      <right style="thin">
        <color rgb="FF132D4E"/>
      </right>
      <top style="medium">
        <color rgb="FF132D4E"/>
      </top>
      <bottom style="medium">
        <color rgb="FF132D4E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readingOrder="0"/>
    </xf>
    <xf borderId="1" fillId="2" fontId="4" numFmtId="0" xfId="0" applyBorder="1" applyFont="1"/>
    <xf borderId="0" fillId="0" fontId="5" numFmtId="0" xfId="0" applyAlignment="1" applyFont="1">
      <alignment vertical="bottom"/>
    </xf>
    <xf borderId="1" fillId="2" fontId="6" numFmtId="0" xfId="0" applyBorder="1" applyFont="1"/>
    <xf borderId="4" fillId="3" fontId="7" numFmtId="0" xfId="0" applyAlignment="1" applyBorder="1" applyFill="1" applyFont="1">
      <alignment horizontal="center"/>
    </xf>
    <xf borderId="5" fillId="4" fontId="7" numFmtId="0" xfId="0" applyBorder="1" applyFill="1" applyFont="1"/>
    <xf borderId="5" fillId="4" fontId="8" numFmtId="3" xfId="0" applyAlignment="1" applyBorder="1" applyFont="1" applyNumberFormat="1">
      <alignment horizontal="center"/>
    </xf>
    <xf borderId="5" fillId="4" fontId="8" numFmtId="164" xfId="0" applyAlignment="1" applyBorder="1" applyFont="1" applyNumberFormat="1">
      <alignment horizontal="center"/>
    </xf>
    <xf borderId="5" fillId="4" fontId="8" numFmtId="10" xfId="0" applyAlignment="1" applyBorder="1" applyFont="1" applyNumberFormat="1">
      <alignment horizontal="center"/>
    </xf>
    <xf borderId="5" fillId="5" fontId="7" numFmtId="0" xfId="0" applyBorder="1" applyFill="1" applyFont="1"/>
    <xf borderId="5" fillId="5" fontId="8" numFmtId="3" xfId="0" applyAlignment="1" applyBorder="1" applyFont="1" applyNumberFormat="1">
      <alignment horizontal="center"/>
    </xf>
    <xf borderId="5" fillId="5" fontId="8" numFmtId="164" xfId="0" applyAlignment="1" applyBorder="1" applyFont="1" applyNumberFormat="1">
      <alignment horizontal="center"/>
    </xf>
    <xf borderId="5" fillId="5" fontId="8" numFmtId="10" xfId="0" applyAlignment="1" applyBorder="1" applyFont="1" applyNumberFormat="1">
      <alignment horizontal="center"/>
    </xf>
    <xf borderId="5" fillId="5" fontId="5" numFmtId="165" xfId="0" applyBorder="1" applyFont="1" applyNumberFormat="1"/>
    <xf borderId="6" fillId="2" fontId="6" numFmtId="0" xfId="0" applyBorder="1" applyFont="1"/>
    <xf borderId="6" fillId="2" fontId="6" numFmtId="3" xfId="0" applyAlignment="1" applyBorder="1" applyFont="1" applyNumberFormat="1">
      <alignment horizontal="center"/>
    </xf>
    <xf borderId="6" fillId="2" fontId="6" numFmtId="164" xfId="0" applyAlignment="1" applyBorder="1" applyFont="1" applyNumberFormat="1">
      <alignment horizontal="center"/>
    </xf>
    <xf borderId="6" fillId="2" fontId="6" numFmtId="10" xfId="0" applyAlignment="1" applyBorder="1" applyFont="1" applyNumberFormat="1">
      <alignment horizontal="center"/>
    </xf>
    <xf borderId="0" fillId="0" fontId="5" numFmtId="3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1" fillId="6" fontId="6" numFmtId="0" xfId="0" applyBorder="1" applyFill="1" applyFont="1"/>
    <xf borderId="5" fillId="4" fontId="7" numFmtId="0" xfId="0" applyBorder="1" applyFont="1"/>
    <xf borderId="5" fillId="5" fontId="7" numFmtId="0" xfId="0" applyBorder="1" applyFont="1"/>
    <xf borderId="7" fillId="6" fontId="6" numFmtId="0" xfId="0" applyBorder="1" applyFont="1"/>
    <xf borderId="7" fillId="6" fontId="6" numFmtId="3" xfId="0" applyAlignment="1" applyBorder="1" applyFont="1" applyNumberFormat="1">
      <alignment horizontal="center"/>
    </xf>
    <xf borderId="7" fillId="6" fontId="6" numFmtId="164" xfId="0" applyAlignment="1" applyBorder="1" applyFont="1" applyNumberFormat="1">
      <alignment horizontal="center"/>
    </xf>
    <xf borderId="7" fillId="6" fontId="6" numFmtId="10" xfId="0" applyAlignment="1" applyBorder="1" applyFont="1" applyNumberFormat="1">
      <alignment horizontal="center"/>
    </xf>
    <xf borderId="0" fillId="0" fontId="6" numFmtId="0" xfId="0" applyFont="1"/>
    <xf borderId="1" fillId="2" fontId="6" numFmtId="0" xfId="0" applyAlignment="1" applyBorder="1" applyFont="1">
      <alignment readingOrder="0"/>
    </xf>
    <xf borderId="4" fillId="3" fontId="7" numFmtId="3" xfId="0" applyAlignment="1" applyBorder="1" applyFont="1" applyNumberFormat="1">
      <alignment horizontal="center"/>
    </xf>
    <xf borderId="4" fillId="3" fontId="7" numFmtId="166" xfId="0" applyAlignment="1" applyBorder="1" applyFont="1" applyNumberFormat="1">
      <alignment horizontal="center"/>
    </xf>
    <xf borderId="4" fillId="3" fontId="5" numFmtId="164" xfId="0" applyBorder="1" applyFont="1" applyNumberFormat="1"/>
    <xf borderId="4" fillId="3" fontId="5" numFmtId="167" xfId="0" applyBorder="1" applyFont="1" applyNumberFormat="1"/>
    <xf borderId="5" fillId="4" fontId="7" numFmtId="168" xfId="0" applyAlignment="1" applyBorder="1" applyFont="1" applyNumberFormat="1">
      <alignment horizontal="center"/>
    </xf>
    <xf borderId="5" fillId="4" fontId="5" numFmtId="164" xfId="0" applyBorder="1" applyFont="1" applyNumberFormat="1"/>
    <xf borderId="5" fillId="4" fontId="5" numFmtId="167" xfId="0" applyBorder="1" applyFont="1" applyNumberFormat="1"/>
    <xf borderId="5" fillId="5" fontId="7" numFmtId="168" xfId="0" applyAlignment="1" applyBorder="1" applyFont="1" applyNumberFormat="1">
      <alignment horizontal="center"/>
    </xf>
    <xf borderId="5" fillId="5" fontId="5" numFmtId="164" xfId="0" applyBorder="1" applyFont="1" applyNumberFormat="1"/>
    <xf borderId="5" fillId="5" fontId="5" numFmtId="167" xfId="0" applyBorder="1" applyFont="1" applyNumberFormat="1"/>
    <xf borderId="1" fillId="2" fontId="6" numFmtId="0" xfId="0" applyBorder="1" applyFont="1"/>
    <xf borderId="4" fillId="3" fontId="5" numFmtId="0" xfId="0" applyBorder="1" applyFont="1"/>
    <xf borderId="4" fillId="3" fontId="7" numFmtId="0" xfId="0" applyAlignment="1" applyBorder="1" applyFont="1">
      <alignment horizontal="center"/>
    </xf>
    <xf borderId="6" fillId="2" fontId="6" numFmtId="0" xfId="0" applyBorder="1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6.0"/>
    <col customWidth="1" min="3" max="6" width="14.0"/>
    <col customWidth="1" min="7" max="7" width="16.0"/>
    <col customWidth="1" min="8" max="26" width="8.71"/>
  </cols>
  <sheetData>
    <row r="2" ht="36.0" customHeight="1">
      <c r="A2" s="1" t="s">
        <v>0</v>
      </c>
      <c r="B2" s="2"/>
      <c r="C2" s="2"/>
      <c r="D2" s="2"/>
      <c r="E2" s="2"/>
      <c r="F2" s="2"/>
      <c r="G2" s="3"/>
    </row>
    <row r="3" ht="18.0" customHeight="1">
      <c r="A3" s="4" t="s">
        <v>1</v>
      </c>
      <c r="B3" s="2"/>
      <c r="C3" s="2"/>
      <c r="D3" s="2"/>
      <c r="E3" s="2"/>
      <c r="F3" s="2"/>
      <c r="G3" s="3"/>
    </row>
    <row r="4" ht="18.0" customHeight="1">
      <c r="A4" s="5" t="s">
        <v>2</v>
      </c>
      <c r="B4" s="2"/>
      <c r="C4" s="2"/>
      <c r="D4" s="2"/>
      <c r="E4" s="2"/>
      <c r="F4" s="2"/>
      <c r="G4" s="3"/>
    </row>
    <row r="5" ht="12.0" customHeight="1">
      <c r="A5" s="6"/>
      <c r="B5" s="6"/>
      <c r="C5" s="6"/>
      <c r="D5" s="6"/>
      <c r="E5" s="6"/>
      <c r="F5" s="6"/>
      <c r="G5" s="6"/>
    </row>
    <row r="6" ht="21.75" customHeight="1">
      <c r="A6" s="7" t="s">
        <v>3</v>
      </c>
      <c r="B6" s="2"/>
      <c r="C6" s="2"/>
      <c r="D6" s="2"/>
      <c r="E6" s="2"/>
      <c r="F6" s="2"/>
      <c r="G6" s="3"/>
    </row>
    <row r="7" ht="21.75" customHeight="1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</row>
    <row r="8" ht="19.5" customHeight="1">
      <c r="A8" s="9" t="s">
        <v>11</v>
      </c>
      <c r="B8" s="10">
        <v>80633.0</v>
      </c>
      <c r="C8" s="10">
        <v>77023.0</v>
      </c>
      <c r="D8" s="10">
        <v>35.0</v>
      </c>
      <c r="E8" s="11">
        <v>2.966155</v>
      </c>
      <c r="F8" s="11">
        <v>239.17</v>
      </c>
      <c r="G8" s="12">
        <v>4.3407E-4</v>
      </c>
    </row>
    <row r="9" ht="19.5" customHeight="1">
      <c r="A9" s="13" t="s">
        <v>12</v>
      </c>
      <c r="B9" s="14">
        <v>36903.0</v>
      </c>
      <c r="C9" s="14">
        <v>525.0</v>
      </c>
      <c r="D9" s="14">
        <v>0.0</v>
      </c>
      <c r="E9" s="15">
        <v>2.95</v>
      </c>
      <c r="F9" s="15">
        <v>108.97</v>
      </c>
      <c r="G9" s="16">
        <v>0.0</v>
      </c>
    </row>
    <row r="10" ht="19.5" customHeight="1">
      <c r="A10" s="9" t="s">
        <v>13</v>
      </c>
      <c r="B10" s="10">
        <v>98849.0</v>
      </c>
      <c r="C10" s="10">
        <v>97360.0</v>
      </c>
      <c r="D10" s="10">
        <v>90.0</v>
      </c>
      <c r="E10" s="11">
        <v>2.63968274843448</v>
      </c>
      <c r="F10" s="11">
        <v>260.93</v>
      </c>
      <c r="G10" s="12">
        <v>9.10479620431163E-4</v>
      </c>
    </row>
    <row r="11" ht="19.5" customHeight="1">
      <c r="A11" s="13" t="s">
        <v>14</v>
      </c>
      <c r="B11" s="14">
        <v>1479849.0</v>
      </c>
      <c r="C11" s="17"/>
      <c r="D11" s="14">
        <v>1048.0</v>
      </c>
      <c r="E11" s="15">
        <v>0.350542521568079</v>
      </c>
      <c r="F11" s="15">
        <v>518.75</v>
      </c>
      <c r="G11" s="16">
        <v>7.08180361645006E-4</v>
      </c>
    </row>
    <row r="12" ht="21.75" customHeight="1">
      <c r="A12" s="18" t="s">
        <v>15</v>
      </c>
      <c r="B12" s="19">
        <f t="shared" ref="B12:D12" si="1">SUM(B8:B11)</f>
        <v>1696234</v>
      </c>
      <c r="C12" s="19">
        <f t="shared" si="1"/>
        <v>174908</v>
      </c>
      <c r="D12" s="19">
        <f t="shared" si="1"/>
        <v>1173</v>
      </c>
      <c r="E12" s="20">
        <f>IF(B12&gt;0,F12/B12*1000,0)</f>
        <v>0.6648964707</v>
      </c>
      <c r="F12" s="20">
        <f>SUM(F8:F11)</f>
        <v>1127.82</v>
      </c>
      <c r="G12" s="21">
        <f>IF(B12&gt;0,D12/B12,0)</f>
        <v>0.0006915319467</v>
      </c>
    </row>
    <row r="13" ht="13.5" customHeight="1">
      <c r="A13" s="6"/>
      <c r="B13" s="22"/>
      <c r="C13" s="22"/>
      <c r="D13" s="22"/>
      <c r="E13" s="23"/>
      <c r="F13" s="24"/>
      <c r="G13" s="25"/>
    </row>
    <row r="14" ht="20.25" customHeight="1">
      <c r="A14" s="26" t="s">
        <v>16</v>
      </c>
      <c r="B14" s="2"/>
      <c r="C14" s="2"/>
      <c r="D14" s="2"/>
      <c r="E14" s="2"/>
      <c r="F14" s="2"/>
      <c r="G14" s="3"/>
    </row>
    <row r="15" ht="15.75" customHeight="1">
      <c r="A15" s="8" t="s">
        <v>4</v>
      </c>
      <c r="B15" s="8" t="s">
        <v>5</v>
      </c>
      <c r="C15" s="8" t="s">
        <v>6</v>
      </c>
      <c r="D15" s="8" t="s">
        <v>7</v>
      </c>
      <c r="E15" s="8" t="s">
        <v>8</v>
      </c>
      <c r="F15" s="8" t="s">
        <v>9</v>
      </c>
      <c r="G15" s="8" t="s">
        <v>10</v>
      </c>
    </row>
    <row r="16">
      <c r="A16" s="27" t="s">
        <v>11</v>
      </c>
      <c r="B16" s="10">
        <v>38711.0</v>
      </c>
      <c r="C16" s="10">
        <v>796.0</v>
      </c>
      <c r="D16" s="10">
        <v>93.0</v>
      </c>
      <c r="E16" s="11">
        <v>2.861719</v>
      </c>
      <c r="F16" s="11">
        <v>110.78</v>
      </c>
      <c r="G16" s="12">
        <v>0.00240242</v>
      </c>
    </row>
    <row r="17" ht="15.75" customHeight="1">
      <c r="A17" s="28" t="s">
        <v>12</v>
      </c>
      <c r="B17" s="14">
        <v>20325.0</v>
      </c>
      <c r="C17" s="14">
        <v>343.0</v>
      </c>
      <c r="D17" s="14">
        <v>0.0</v>
      </c>
      <c r="E17" s="15">
        <v>2.97</v>
      </c>
      <c r="F17" s="15">
        <v>60.28</v>
      </c>
      <c r="G17" s="16">
        <v>0.0</v>
      </c>
    </row>
    <row r="18" ht="15.75" customHeight="1">
      <c r="A18" s="27" t="s">
        <v>13</v>
      </c>
      <c r="B18" s="10">
        <v>31500.0</v>
      </c>
      <c r="C18" s="10">
        <v>31112.0</v>
      </c>
      <c r="D18" s="10">
        <v>45.0</v>
      </c>
      <c r="E18" s="11">
        <v>2.24761904761905</v>
      </c>
      <c r="F18" s="11">
        <v>70.8</v>
      </c>
      <c r="G18" s="12">
        <v>0.00142857142857143</v>
      </c>
    </row>
    <row r="19" ht="15.75" customHeight="1">
      <c r="A19" s="29" t="s">
        <v>17</v>
      </c>
      <c r="B19" s="30">
        <f t="shared" ref="B19:D19" si="2">SUM(B16:B18)</f>
        <v>90536</v>
      </c>
      <c r="C19" s="30">
        <f t="shared" si="2"/>
        <v>32251</v>
      </c>
      <c r="D19" s="30">
        <f t="shared" si="2"/>
        <v>138</v>
      </c>
      <c r="E19" s="31">
        <f>IF(B19&gt;0,F19/B19*1000,0)</f>
        <v>2.671423522</v>
      </c>
      <c r="F19" s="31">
        <f>SUM(F16:F18)</f>
        <v>241.86</v>
      </c>
      <c r="G19" s="32">
        <f>IF(B19&gt;0,D19/B19,0)</f>
        <v>0.001524255545</v>
      </c>
    </row>
    <row r="20" ht="21.75" customHeight="1">
      <c r="A20" s="33"/>
      <c r="B20" s="33"/>
      <c r="C20" s="33"/>
      <c r="D20" s="33"/>
      <c r="E20" s="33"/>
      <c r="F20" s="33"/>
      <c r="G20" s="33"/>
    </row>
    <row r="21" ht="21.75" customHeight="1">
      <c r="A21" s="34" t="s">
        <v>18</v>
      </c>
      <c r="B21" s="2"/>
      <c r="C21" s="2"/>
      <c r="D21" s="2"/>
      <c r="E21" s="2"/>
      <c r="F21" s="2"/>
      <c r="G21" s="3"/>
    </row>
    <row r="22" ht="21.75" customHeight="1">
      <c r="A22" s="8" t="s">
        <v>19</v>
      </c>
      <c r="B22" s="35" t="s">
        <v>20</v>
      </c>
      <c r="C22" s="35" t="s">
        <v>21</v>
      </c>
      <c r="D22" s="35" t="s">
        <v>22</v>
      </c>
      <c r="E22" s="36" t="s">
        <v>23</v>
      </c>
      <c r="F22" s="37"/>
      <c r="G22" s="38"/>
    </row>
    <row r="23" ht="19.5" customHeight="1">
      <c r="A23" s="9" t="s">
        <v>5</v>
      </c>
      <c r="B23" s="10">
        <v>1100000.0</v>
      </c>
      <c r="C23" s="10">
        <f>B12</f>
        <v>1696234</v>
      </c>
      <c r="D23" s="39">
        <f t="shared" ref="D23:D24" si="3">C23/B23</f>
        <v>1.542030909</v>
      </c>
      <c r="E23" s="10">
        <f t="shared" ref="E23:E24" si="4">B23-C23</f>
        <v>-596234</v>
      </c>
      <c r="F23" s="40"/>
      <c r="G23" s="41"/>
    </row>
    <row r="24" ht="19.5" customHeight="1">
      <c r="A24" s="13" t="s">
        <v>9</v>
      </c>
      <c r="B24" s="15">
        <v>2500.0</v>
      </c>
      <c r="C24" s="15">
        <f>F12</f>
        <v>1127.82</v>
      </c>
      <c r="D24" s="42">
        <f t="shared" si="3"/>
        <v>0.451128</v>
      </c>
      <c r="E24" s="15">
        <f t="shared" si="4"/>
        <v>1372.18</v>
      </c>
      <c r="F24" s="43"/>
      <c r="G24" s="44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45" t="s">
        <v>24</v>
      </c>
      <c r="B26" s="2"/>
      <c r="C26" s="2"/>
      <c r="D26" s="2"/>
      <c r="E26" s="2"/>
      <c r="F26" s="2"/>
      <c r="G26" s="3"/>
    </row>
    <row r="27" ht="15.75" customHeight="1">
      <c r="A27" s="46"/>
      <c r="B27" s="47" t="s">
        <v>5</v>
      </c>
      <c r="C27" s="47" t="s">
        <v>6</v>
      </c>
      <c r="D27" s="47" t="s">
        <v>7</v>
      </c>
      <c r="E27" s="47" t="s">
        <v>8</v>
      </c>
      <c r="F27" s="47" t="s">
        <v>9</v>
      </c>
      <c r="G27" s="47" t="s">
        <v>10</v>
      </c>
    </row>
    <row r="28" ht="15.75" customHeight="1">
      <c r="A28" s="48" t="s">
        <v>25</v>
      </c>
      <c r="B28" s="19">
        <f t="shared" ref="B28:D28" si="5">B12+B19</f>
        <v>1786770</v>
      </c>
      <c r="C28" s="19">
        <f t="shared" si="5"/>
        <v>207159</v>
      </c>
      <c r="D28" s="19">
        <f t="shared" si="5"/>
        <v>1311</v>
      </c>
      <c r="E28" s="20">
        <f>IF((B12+B19)&gt;0,F28/(B12+B19)*1000,0)</f>
        <v>0.7665676052</v>
      </c>
      <c r="F28" s="20">
        <f>F12+F19</f>
        <v>1369.68</v>
      </c>
      <c r="G28" s="21">
        <f>IF((B12+B19)&gt;0,(D12+D19)/(B12+B19),0)</f>
        <v>0.0007337262211</v>
      </c>
    </row>
    <row r="29" ht="15.75" customHeight="1">
      <c r="A29" s="6"/>
      <c r="B29" s="6"/>
      <c r="C29" s="6"/>
      <c r="D29" s="6"/>
      <c r="E29" s="6"/>
      <c r="F29" s="6"/>
      <c r="G29" s="6"/>
    </row>
    <row r="30" ht="15.75" customHeight="1">
      <c r="A30" s="49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">
    <mergeCell ref="A26:G26"/>
    <mergeCell ref="A21:G21"/>
    <mergeCell ref="A2:G2"/>
    <mergeCell ref="A3:G3"/>
    <mergeCell ref="A4:G4"/>
    <mergeCell ref="A6:G6"/>
    <mergeCell ref="A14:G14"/>
    <mergeCell ref="A30:G3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2026-04-03T16:10:56Z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